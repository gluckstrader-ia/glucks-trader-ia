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lucks-backend\"/>
    </mc:Choice>
  </mc:AlternateContent>
  <xr:revisionPtr revIDLastSave="0" documentId="13_ncr:1_{14BE23E0-7E4E-4969-B294-57327277B43B}" xr6:coauthVersionLast="47" xr6:coauthVersionMax="47" xr10:uidLastSave="{00000000-0000-0000-0000-000000000000}"/>
  <bookViews>
    <workbookView xWindow="-120" yWindow="-120" windowWidth="29040" windowHeight="15840" xr2:uid="{4801573E-D667-4BD6-B287-0693725D4B25}"/>
  </bookViews>
  <sheets>
    <sheet name="fe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B3" i="1"/>
  <c r="C3" i="1"/>
  <c r="D3" i="1"/>
  <c r="E3" i="1"/>
  <c r="B4" i="1"/>
  <c r="C4" i="1"/>
  <c r="D4" i="1"/>
  <c r="E4" i="1"/>
  <c r="B5" i="1"/>
  <c r="C5" i="1"/>
  <c r="D5" i="1"/>
  <c r="E5" i="1"/>
</calcChain>
</file>

<file path=xl/sharedStrings.xml><?xml version="1.0" encoding="utf-8"?>
<sst xmlns="http://schemas.openxmlformats.org/spreadsheetml/2006/main" count="9" uniqueCount="9">
  <si>
    <t>symbol</t>
  </si>
  <si>
    <t>date</t>
  </si>
  <si>
    <t>time</t>
  </si>
  <si>
    <t>price</t>
  </si>
  <si>
    <t>volume</t>
  </si>
  <si>
    <t>WINFUT</t>
  </si>
  <si>
    <t>WDOFUT</t>
  </si>
  <si>
    <t>WDOJ26</t>
  </si>
  <si>
    <t>WINJ26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</si>
</sst>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trading.rtdserver">
      <tp t="s">
        <v>09:47:48</v>
        <stp/>
        <stp>WINFUT_F_0</stp>
        <stp>HOR</stp>
        <tr r="C2" s="1"/>
      </tp>
      <tp t="s">
        <v>09:47:48</v>
        <stp/>
        <stp>WDOFUT_F_0</stp>
        <stp>HOR</stp>
        <tr r="C3" s="1"/>
      </tp>
      <tp t="s">
        <v>25/03/2026</v>
        <stp/>
        <stp>WINJ26_F_0</stp>
        <stp>DAT</stp>
        <tr r="B5" s="1"/>
      </tp>
      <tp t="s">
        <v>25/03/2026</v>
        <stp/>
        <stp>WDOJ26_F_0</stp>
        <stp>DAT</stp>
        <tr r="B4" s="1"/>
      </tp>
      <tp t="s">
        <v>25/03/2026</v>
        <stp/>
        <stp>WINFUT_F_0</stp>
        <stp>DAT</stp>
        <tr r="B2" s="1"/>
      </tp>
      <tp t="s">
        <v>25/03/2026</v>
        <stp/>
        <stp>WDOFUT_F_0</stp>
        <stp>DAT</stp>
        <tr r="B3" s="1"/>
      </tp>
      <tp t="s">
        <v>09:47:48</v>
        <stp/>
        <stp>WINJ26_F_0</stp>
        <stp>HOR</stp>
        <tr r="C5" s="1"/>
      </tp>
      <tp t="s">
        <v>09:47:48</v>
        <stp/>
        <stp>WDOJ26_F_0</stp>
        <stp>HOR</stp>
        <tr r="C4" s="1"/>
      </tp>
      <tp>
        <v>22656709145</v>
        <stp/>
        <stp>WDOJ26_F_0</stp>
        <stp>VOL</stp>
        <tr r="E4" s="1"/>
      </tp>
      <tp>
        <v>107972996901</v>
        <stp/>
        <stp>WINJ26_F_0</stp>
        <stp>VOL</stp>
        <tr r="E5" s="1"/>
      </tp>
      <tp>
        <v>185855</v>
        <stp/>
        <stp>WINJ26_F_0</stp>
        <stp>ULT</stp>
        <tr r="D5" s="1"/>
      </tp>
      <tp>
        <v>5245.5</v>
        <stp/>
        <stp>WDOJ26_F_0</stp>
        <stp>ULT</stp>
        <tr r="D4" s="1"/>
      </tp>
      <tp>
        <v>22656709145</v>
        <stp/>
        <stp>WDOFUT_F_0</stp>
        <stp>VOL</stp>
        <tr r="E3" s="1"/>
      </tp>
      <tp>
        <v>107972959732</v>
        <stp/>
        <stp>WINFUT_F_0</stp>
        <stp>VOL</stp>
        <tr r="E2" s="1"/>
      </tp>
      <tp>
        <v>185855</v>
        <stp/>
        <stp>WINFUT_F_0</stp>
        <stp>ULT</stp>
        <tr r="D2" s="1"/>
      </tp>
      <tp>
        <v>5245.5</v>
        <stp/>
        <stp>WDOFUT_F_0</stp>
        <stp>ULT</stp>
        <tr r="D3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3A836-696F-423A-8358-224F522981E9}">
  <dimension ref="A1:E5"/>
  <sheetViews>
    <sheetView tabSelected="1" workbookViewId="0">
      <selection activeCell="A2" sqref="A2:E5"/>
    </sheetView>
  </sheetViews>
  <sheetFormatPr defaultRowHeight="14.25"/>
  <cols>
    <col min="4" max="4" width="3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tr">
        <f>RTD("rtdtrading.rtdserver",, "WINFUT_F_0", "DAT")</f>
        <v>25/03/2026</v>
      </c>
      <c r="C2" t="str">
        <f>RTD("rtdtrading.rtdserver",, "WINFUT_F_0", "HOR")</f>
        <v>09:47:48</v>
      </c>
      <c r="D2">
        <f>RTD("rtdtrading.rtdserver",, "WINFUT_F_0", "ULT")</f>
        <v>185855</v>
      </c>
      <c r="E2">
        <f>RTD("rtdtrading.rtdserver",, "WINFUT_F_0", "VOL")</f>
        <v>107972959732</v>
      </c>
    </row>
    <row r="3" spans="1:5">
      <c r="A3" t="s">
        <v>6</v>
      </c>
      <c r="B3" t="str">
        <f>RTD("rtdtrading.rtdserver",, "WDOFUT_F_0", "DAT")</f>
        <v>25/03/2026</v>
      </c>
      <c r="C3" t="str">
        <f>RTD("rtdtrading.rtdserver",, "WDOFUT_F_0", "HOR")</f>
        <v>09:47:48</v>
      </c>
      <c r="D3">
        <f>RTD("rtdtrading.rtdserver",, "WDOFUT_F_0", "ULT")</f>
        <v>5245.5</v>
      </c>
      <c r="E3">
        <f>RTD("rtdtrading.rtdserver",, "WDOFUT_F_0", "VOL")</f>
        <v>22656709145</v>
      </c>
    </row>
    <row r="4" spans="1:5">
      <c r="A4" t="s">
        <v>7</v>
      </c>
      <c r="B4" t="str">
        <f>RTD("rtdtrading.rtdserver",, "WDOJ26_F_0", "DAT")</f>
        <v>25/03/2026</v>
      </c>
      <c r="C4" t="str">
        <f>RTD("rtdtrading.rtdserver",, "WDOJ26_F_0", "HOR")</f>
        <v>09:47:48</v>
      </c>
      <c r="D4">
        <f>RTD("rtdtrading.rtdserver",, "WDOJ26_F_0", "ULT")</f>
        <v>5245.5</v>
      </c>
      <c r="E4">
        <f>RTD("rtdtrading.rtdserver",, "WDOJ26_F_0", "VOL")</f>
        <v>22656709145</v>
      </c>
    </row>
    <row r="5" spans="1:5">
      <c r="A5" t="s">
        <v>8</v>
      </c>
      <c r="B5" t="str">
        <f>RTD("rtdtrading.rtdserver",, "WINJ26_F_0", "DAT")</f>
        <v>25/03/2026</v>
      </c>
      <c r="C5" t="str">
        <f>RTD("rtdtrading.rtdserver",, "WINJ26_F_0", "HOR")</f>
        <v>09:47:48</v>
      </c>
      <c r="D5">
        <f>RTD("rtdtrading.rtdserver",, "WINJ26_F_0", "ULT")</f>
        <v>185855</v>
      </c>
      <c r="E5">
        <f>RTD("rtdtrading.rtdserver",, "WINJ26_F_0", "VOL")</f>
        <v>107972996901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Lucinéia Gluck</dc:creator>
  <cp:lastModifiedBy>Lucinéia Gluck</cp:lastModifiedBy>
  <dcterms:created xsi:type="dcterms:W3CDTF">2026-03-25T11:12:01Z</dcterms:created>
  <dcterms:modified xsi:type="dcterms:W3CDTF">2026-03-25T12:47:50Z</dcterms:modified>
</cp:coreProperties>
</file>